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Y PC\Desktop\UrbanCompany_Capstone\"/>
    </mc:Choice>
  </mc:AlternateContent>
  <xr:revisionPtr revIDLastSave="0" documentId="13_ncr:1_{FAB1085B-B44F-4C43-8113-5CB7B721A6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ty-Category Data" sheetId="1" r:id="rId1"/>
    <sheet name="Pivot Table 1" sheetId="2" r:id="rId2"/>
    <sheet name="Category Reference" sheetId="3" r:id="rId3"/>
    <sheet name="Analysis" sheetId="4" r:id="rId4"/>
    <sheet name="KPI Summary" sheetId="5" r:id="rId5"/>
  </sheets>
  <calcPr calcId="191029"/>
  <pivotCaches>
    <pivotCache cacheId="5" r:id="rId6"/>
  </pivotCaches>
</workbook>
</file>

<file path=xl/calcChain.xml><?xml version="1.0" encoding="utf-8"?>
<calcChain xmlns="http://schemas.openxmlformats.org/spreadsheetml/2006/main">
  <c r="D7" i="5" l="1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2" i="4"/>
  <c r="D12" i="4"/>
  <c r="C12" i="4"/>
  <c r="B12" i="4"/>
  <c r="E11" i="4"/>
  <c r="D11" i="4"/>
  <c r="C11" i="4"/>
  <c r="B11" i="4"/>
  <c r="E10" i="4"/>
  <c r="D10" i="4"/>
  <c r="C10" i="4"/>
  <c r="B10" i="4"/>
  <c r="D9" i="4"/>
  <c r="E9" i="4" s="1"/>
  <c r="C9" i="4"/>
  <c r="B9" i="4"/>
  <c r="E8" i="4"/>
  <c r="D8" i="4"/>
  <c r="C8" i="4"/>
  <c r="B8" i="4"/>
  <c r="D7" i="4"/>
  <c r="E7" i="4" s="1"/>
  <c r="C7" i="4"/>
  <c r="B7" i="4"/>
  <c r="B5" i="4"/>
  <c r="B14" i="5" s="1"/>
  <c r="B4" i="4"/>
  <c r="B13" i="5" s="1"/>
  <c r="B3" i="4"/>
  <c r="B12" i="5" s="1"/>
  <c r="B2" i="4"/>
  <c r="B11" i="5" s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<sst xmlns="http://schemas.openxmlformats.org/spreadsheetml/2006/main" count="152" uniqueCount="44">
  <si>
    <t>city</t>
  </si>
  <si>
    <t>category</t>
  </si>
  <si>
    <t>min_price_inr</t>
  </si>
  <si>
    <t>bookings_count</t>
  </si>
  <si>
    <t>max_price_inr</t>
  </si>
  <si>
    <t>revenue_inr</t>
  </si>
  <si>
    <t>AC Repair &amp; Service</t>
  </si>
  <si>
    <t>sla_breaches</t>
  </si>
  <si>
    <t>Salon for Women</t>
  </si>
  <si>
    <t>Bengaluru</t>
  </si>
  <si>
    <t>Salon for Men</t>
  </si>
  <si>
    <t>Deep Home Cleaning</t>
  </si>
  <si>
    <t>Plumbing</t>
  </si>
  <si>
    <t>Electrical Repair</t>
  </si>
  <si>
    <t>SUM of revenue_inr</t>
  </si>
  <si>
    <t>Grand Total</t>
  </si>
  <si>
    <t>Chennai</t>
  </si>
  <si>
    <t>Delhi NCR</t>
  </si>
  <si>
    <t>Hyderabad</t>
  </si>
  <si>
    <t>Mumbai</t>
  </si>
  <si>
    <t>Pune</t>
  </si>
  <si>
    <t>City</t>
  </si>
  <si>
    <t>Total Revenue</t>
  </si>
  <si>
    <t>Total SLA Breaches</t>
  </si>
  <si>
    <t>City-Category Combinations</t>
  </si>
  <si>
    <t>Matches Part A SQL total?</t>
  </si>
  <si>
    <t>YES</t>
  </si>
  <si>
    <t>KPI DASHBOARD</t>
  </si>
  <si>
    <t>Total Bookings</t>
  </si>
  <si>
    <t>SLA Breach Rate</t>
  </si>
  <si>
    <t>KEY INSIGHTS</t>
  </si>
  <si>
    <t>Highest Revenue City</t>
  </si>
  <si>
    <t>Highest Booking City</t>
  </si>
  <si>
    <t>Lowest SLA Breach Rate</t>
  </si>
  <si>
    <t>Highest Revenue Category</t>
  </si>
  <si>
    <t>Highest SLA Breach Rate Category</t>
  </si>
  <si>
    <t>RECOMMENDATIONS</t>
  </si>
  <si>
    <t>Focus on reducing SLA breaches in Salon for Men.</t>
  </si>
  <si>
    <t>Improve SLA performance in Bengaluru, which has the highest city breach rate.</t>
  </si>
  <si>
    <t>Maintain strong revenue performance in Pune and Deep Home Cleaning, the top-performing city and category by revenue.</t>
  </si>
  <si>
    <t>Metric</t>
  </si>
  <si>
    <t>Value</t>
  </si>
  <si>
    <t>Booking Count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</si>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</sst>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scheme val="minor"/>
    </font>
    <font>
      <sz val="10"/>
      <color theme="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674EA7"/>
        <bgColor rgb="FF674EA7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5" fillId="0" borderId="0" xfId="0" applyFont="1"/>
    <xf numFmtId="0" fontId="6" fillId="0" borderId="1" xfId="0" pivotButton="1" applyFont="1" applyBorder="1"/>
    <xf numFmtId="0" fontId="7" fillId="5" borderId="1" xfId="0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0" fontId="6" fillId="6" borderId="8" xfId="0" applyFont="1" applyFill="1" applyBorder="1"/>
    <xf numFmtId="0" fontId="6" fillId="6" borderId="8" xfId="0" applyNumberFormat="1" applyFont="1" applyFill="1" applyBorder="1"/>
    <xf numFmtId="0" fontId="6" fillId="6" borderId="9" xfId="0" applyNumberFormat="1" applyFont="1" applyFill="1" applyBorder="1"/>
    <xf numFmtId="0" fontId="6" fillId="6" borderId="10" xfId="0" applyNumberFormat="1" applyFont="1" applyFill="1" applyBorder="1"/>
  </cellXfs>
  <cellStyles count="1">
    <cellStyle name="Normal" xfId="0" builtinId="0"/>
  </cellStyles>
  <dxfs count="15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Total Revenue by 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Analysis!$A$7:$A$12</c:f>
              <c:strCache>
                <c:ptCount val="6"/>
                <c:pt idx="0">
                  <c:v>Bengaluru</c:v>
                </c:pt>
                <c:pt idx="1">
                  <c:v>Mumbai</c:v>
                </c:pt>
                <c:pt idx="2">
                  <c:v>Delhi NCR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Analysis!$B$7:$B$12</c:f>
              <c:numCache>
                <c:formatCode>General</c:formatCode>
                <c:ptCount val="6"/>
                <c:pt idx="0">
                  <c:v>179835</c:v>
                </c:pt>
                <c:pt idx="1">
                  <c:v>151430</c:v>
                </c:pt>
                <c:pt idx="2">
                  <c:v>140771</c:v>
                </c:pt>
                <c:pt idx="3">
                  <c:v>228727</c:v>
                </c:pt>
                <c:pt idx="4">
                  <c:v>171638</c:v>
                </c:pt>
                <c:pt idx="5">
                  <c:v>175572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38-4ECA-A0F1-ED1767EA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8055415"/>
        <c:axId val="1019372890"/>
      </c:barChart>
      <c:catAx>
        <c:axId val="1198055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9372890"/>
        <c:crosses val="autoZero"/>
        <c:auto val="1"/>
        <c:lblAlgn val="ctr"/>
        <c:lblOffset val="100"/>
        <c:noMultiLvlLbl val="1"/>
      </c:catAx>
      <c:valAx>
        <c:axId val="1019372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80554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Booking Count by 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Analysis!$D$6</c:f>
              <c:strCache>
                <c:ptCount val="1"/>
                <c:pt idx="0">
                  <c:v>Booking Count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Analysis!$A$7:$A$12</c:f>
              <c:strCache>
                <c:ptCount val="6"/>
                <c:pt idx="0">
                  <c:v>Bengaluru</c:v>
                </c:pt>
                <c:pt idx="1">
                  <c:v>Mumbai</c:v>
                </c:pt>
                <c:pt idx="2">
                  <c:v>Delhi NCR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Analysis!$D$7:$D$12</c:f>
              <c:numCache>
                <c:formatCode>General</c:formatCode>
                <c:ptCount val="6"/>
                <c:pt idx="0">
                  <c:v>107</c:v>
                </c:pt>
                <c:pt idx="1">
                  <c:v>92</c:v>
                </c:pt>
                <c:pt idx="2">
                  <c:v>83</c:v>
                </c:pt>
                <c:pt idx="3">
                  <c:v>107</c:v>
                </c:pt>
                <c:pt idx="4">
                  <c:v>98</c:v>
                </c:pt>
                <c:pt idx="5">
                  <c:v>113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94-4C77-BD0A-472920BF3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55920"/>
        <c:axId val="833559726"/>
      </c:barChart>
      <c:catAx>
        <c:axId val="4345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3559726"/>
        <c:crosses val="autoZero"/>
        <c:auto val="1"/>
        <c:lblAlgn val="ctr"/>
        <c:lblOffset val="100"/>
        <c:noMultiLvlLbl val="1"/>
      </c:catAx>
      <c:valAx>
        <c:axId val="833559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4559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SLA Breach Rate by 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Analysis!$E$6</c:f>
              <c:strCache>
                <c:ptCount val="1"/>
                <c:pt idx="0">
                  <c:v>SLA Breach Rate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Analysis!$A$7:$A$12</c:f>
              <c:strCache>
                <c:ptCount val="6"/>
                <c:pt idx="0">
                  <c:v>Bengaluru</c:v>
                </c:pt>
                <c:pt idx="1">
                  <c:v>Mumbai</c:v>
                </c:pt>
                <c:pt idx="2">
                  <c:v>Delhi NCR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Analysis!$E$7:$E$12</c:f>
              <c:numCache>
                <c:formatCode>0.00%</c:formatCode>
                <c:ptCount val="6"/>
                <c:pt idx="0">
                  <c:v>0.15887850467289719</c:v>
                </c:pt>
                <c:pt idx="1">
                  <c:v>0.14130434782608695</c:v>
                </c:pt>
                <c:pt idx="2">
                  <c:v>7.2289156626506021E-2</c:v>
                </c:pt>
                <c:pt idx="3">
                  <c:v>0.13084112149532709</c:v>
                </c:pt>
                <c:pt idx="4">
                  <c:v>0.14285714285714285</c:v>
                </c:pt>
                <c:pt idx="5">
                  <c:v>0.13274336283185842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09-436E-91F5-3DE3706D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564211"/>
        <c:axId val="612785633"/>
      </c:barChart>
      <c:catAx>
        <c:axId val="868564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2785633"/>
        <c:crosses val="autoZero"/>
        <c:auto val="1"/>
        <c:lblAlgn val="ctr"/>
        <c:lblOffset val="100"/>
        <c:noMultiLvlLbl val="1"/>
      </c:catAx>
      <c:valAx>
        <c:axId val="612785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85642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Total Revenue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Analysis!$A$16:$A$21</c:f>
              <c:strCache>
                <c:ptCount val="6"/>
                <c:pt idx="0">
                  <c:v>AC Repair &amp; Service</c:v>
                </c:pt>
                <c:pt idx="1">
                  <c:v>Salon for Women</c:v>
                </c:pt>
                <c:pt idx="2">
                  <c:v>Salon for Men</c:v>
                </c:pt>
                <c:pt idx="3">
                  <c:v>Deep Home Cleaning</c:v>
                </c:pt>
                <c:pt idx="4">
                  <c:v>Plumbing</c:v>
                </c:pt>
                <c:pt idx="5">
                  <c:v>Electrical Repair</c:v>
                </c:pt>
              </c:strCache>
            </c:strRef>
          </c:cat>
          <c:val>
            <c:numRef>
              <c:f>Analysis!$B$16:$B$21</c:f>
              <c:numCache>
                <c:formatCode>General</c:formatCode>
                <c:ptCount val="6"/>
                <c:pt idx="0">
                  <c:v>113039</c:v>
                </c:pt>
                <c:pt idx="1">
                  <c:v>151689</c:v>
                </c:pt>
                <c:pt idx="2">
                  <c:v>73563</c:v>
                </c:pt>
                <c:pt idx="3">
                  <c:v>508964</c:v>
                </c:pt>
                <c:pt idx="4">
                  <c:v>80837</c:v>
                </c:pt>
                <c:pt idx="5">
                  <c:v>119881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CC-4690-9710-FEB3C0D89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6778654"/>
        <c:axId val="917139550"/>
      </c:barChart>
      <c:catAx>
        <c:axId val="1676778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7139550"/>
        <c:crosses val="autoZero"/>
        <c:auto val="1"/>
        <c:lblAlgn val="ctr"/>
        <c:lblOffset val="100"/>
        <c:noMultiLvlLbl val="1"/>
      </c:catAx>
      <c:valAx>
        <c:axId val="917139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67786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Booking Count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Analysis!$D$15</c:f>
              <c:strCache>
                <c:ptCount val="1"/>
                <c:pt idx="0">
                  <c:v>Booking Count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Analysis!$A$16:$A$21</c:f>
              <c:strCache>
                <c:ptCount val="6"/>
                <c:pt idx="0">
                  <c:v>AC Repair &amp; Service</c:v>
                </c:pt>
                <c:pt idx="1">
                  <c:v>Salon for Women</c:v>
                </c:pt>
                <c:pt idx="2">
                  <c:v>Salon for Men</c:v>
                </c:pt>
                <c:pt idx="3">
                  <c:v>Deep Home Cleaning</c:v>
                </c:pt>
                <c:pt idx="4">
                  <c:v>Plumbing</c:v>
                </c:pt>
                <c:pt idx="5">
                  <c:v>Electrical Repair</c:v>
                </c:pt>
              </c:strCache>
            </c:strRef>
          </c:cat>
          <c:val>
            <c:numRef>
              <c:f>Analysis!$D$16:$D$21</c:f>
              <c:numCache>
                <c:formatCode>General</c:formatCode>
                <c:ptCount val="6"/>
                <c:pt idx="0">
                  <c:v>74</c:v>
                </c:pt>
                <c:pt idx="1">
                  <c:v>65</c:v>
                </c:pt>
                <c:pt idx="2">
                  <c:v>78</c:v>
                </c:pt>
                <c:pt idx="3">
                  <c:v>176</c:v>
                </c:pt>
                <c:pt idx="4">
                  <c:v>95</c:v>
                </c:pt>
                <c:pt idx="5">
                  <c:v>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51-452E-9DE4-86E661A60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4378238"/>
        <c:axId val="974374475"/>
      </c:barChart>
      <c:catAx>
        <c:axId val="444378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4374475"/>
        <c:crosses val="autoZero"/>
        <c:auto val="1"/>
        <c:lblAlgn val="ctr"/>
        <c:lblOffset val="100"/>
        <c:noMultiLvlLbl val="1"/>
      </c:catAx>
      <c:valAx>
        <c:axId val="974374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Booking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43782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SLA Breach Rate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Analysis!$E$15</c:f>
              <c:strCache>
                <c:ptCount val="1"/>
                <c:pt idx="0">
                  <c:v>SLA Breach Rate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Analysis!$A$16:$A$21</c:f>
              <c:strCache>
                <c:ptCount val="6"/>
                <c:pt idx="0">
                  <c:v>AC Repair &amp; Service</c:v>
                </c:pt>
                <c:pt idx="1">
                  <c:v>Salon for Women</c:v>
                </c:pt>
                <c:pt idx="2">
                  <c:v>Salon for Men</c:v>
                </c:pt>
                <c:pt idx="3">
                  <c:v>Deep Home Cleaning</c:v>
                </c:pt>
                <c:pt idx="4">
                  <c:v>Plumbing</c:v>
                </c:pt>
                <c:pt idx="5">
                  <c:v>Electrical Repair</c:v>
                </c:pt>
              </c:strCache>
            </c:strRef>
          </c:cat>
          <c:val>
            <c:numRef>
              <c:f>Analysis!$E$16:$E$21</c:f>
              <c:numCache>
                <c:formatCode>0.00%</c:formatCode>
                <c:ptCount val="6"/>
                <c:pt idx="0">
                  <c:v>0.14864864864864866</c:v>
                </c:pt>
                <c:pt idx="1">
                  <c:v>0.1076923076923077</c:v>
                </c:pt>
                <c:pt idx="2">
                  <c:v>0.17948717948717949</c:v>
                </c:pt>
                <c:pt idx="3">
                  <c:v>0.11931818181818182</c:v>
                </c:pt>
                <c:pt idx="4">
                  <c:v>0.1368421052631579</c:v>
                </c:pt>
                <c:pt idx="5">
                  <c:v>0.11607142857142858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B4B-4156-8C63-E217FF3F7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89839"/>
        <c:axId val="666377905"/>
      </c:barChart>
      <c:catAx>
        <c:axId val="16858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6377905"/>
        <c:crosses val="autoZero"/>
        <c:auto val="1"/>
        <c:lblAlgn val="ctr"/>
        <c:lblOffset val="100"/>
        <c:noMultiLvlLbl val="1"/>
      </c:catAx>
      <c:valAx>
        <c:axId val="666377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SLA Breach Rate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5898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0</xdr:row>
      <xdr:rowOff>114301</xdr:rowOff>
    </xdr:from>
    <xdr:ext cx="3961322" cy="2444749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15</xdr:row>
      <xdr:rowOff>114301</xdr:rowOff>
    </xdr:from>
    <xdr:ext cx="4156816" cy="2565399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0</xdr:colOff>
      <xdr:row>0</xdr:row>
      <xdr:rowOff>114301</xdr:rowOff>
    </xdr:from>
    <xdr:ext cx="3961324" cy="24447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15</xdr:row>
      <xdr:rowOff>114300</xdr:rowOff>
    </xdr:from>
    <xdr:ext cx="4087537" cy="25654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819150</xdr:colOff>
      <xdr:row>0</xdr:row>
      <xdr:rowOff>114301</xdr:rowOff>
    </xdr:from>
    <xdr:ext cx="3961324" cy="244475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819150</xdr:colOff>
      <xdr:row>15</xdr:row>
      <xdr:rowOff>114300</xdr:rowOff>
    </xdr:from>
    <xdr:ext cx="4087538" cy="25654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Y PC" refreshedDate="46279.54090428241" refreshedVersion="8" recordCount="27" xr:uid="{00000000-000A-0000-FFFF-FFFF00000000}">
  <cacheSource type="worksheet">
    <worksheetSource ref="A1:G28" sheet="City-Category Data"/>
  </cacheSource>
  <cacheFields count="7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 count="6"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/>
    </cacheField>
    <cacheField name="sla_breaches" numFmtId="0">
      <sharedItems containsSemiMixedTypes="0" containsString="0" containsNumber="1" containsInteger="1" minValue="0" maxValue="9"/>
    </cacheField>
    <cacheField name="min_price_inr" numFmtId="0">
      <sharedItems containsSemiMixedTypes="0" containsString="0" containsNumber="1" containsInteger="1" minValue="199" maxValue="999"/>
    </cacheField>
    <cacheField name="max_price_inr" numFmtId="0">
      <sharedItems containsSemiMixedTypes="0" containsString="0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40"/>
    <n v="61229"/>
    <n v="7"/>
    <n v="499"/>
    <n v="2499"/>
  </r>
  <r>
    <x v="0"/>
    <x v="1"/>
    <n v="18"/>
    <n v="49592"/>
    <n v="2"/>
    <n v="999"/>
    <n v="4999"/>
  </r>
  <r>
    <x v="0"/>
    <x v="2"/>
    <n v="19"/>
    <n v="23082"/>
    <n v="3"/>
    <n v="199"/>
    <n v="1999"/>
  </r>
  <r>
    <x v="0"/>
    <x v="3"/>
    <n v="14"/>
    <n v="13565"/>
    <n v="3"/>
    <n v="349"/>
    <n v="1499"/>
  </r>
  <r>
    <x v="0"/>
    <x v="4"/>
    <n v="16"/>
    <n v="32367"/>
    <n v="2"/>
    <n v="699"/>
    <n v="3499"/>
  </r>
  <r>
    <x v="1"/>
    <x v="1"/>
    <n v="37"/>
    <n v="109499"/>
    <n v="5"/>
    <n v="999"/>
    <n v="4999"/>
  </r>
  <r>
    <x v="1"/>
    <x v="2"/>
    <n v="13"/>
    <n v="13044"/>
    <n v="1"/>
    <n v="199"/>
    <n v="1999"/>
  </r>
  <r>
    <x v="1"/>
    <x v="5"/>
    <n v="63"/>
    <n v="53029"/>
    <n v="9"/>
    <n v="199"/>
    <n v="1499"/>
  </r>
  <r>
    <x v="2"/>
    <x v="0"/>
    <n v="14"/>
    <n v="22760"/>
    <n v="0"/>
    <n v="499"/>
    <n v="2499"/>
  </r>
  <r>
    <x v="2"/>
    <x v="1"/>
    <n v="25"/>
    <n v="63041"/>
    <n v="0"/>
    <n v="999"/>
    <n v="4999"/>
  </r>
  <r>
    <x v="2"/>
    <x v="2"/>
    <n v="12"/>
    <n v="12585"/>
    <n v="1"/>
    <n v="199"/>
    <n v="1999"/>
  </r>
  <r>
    <x v="2"/>
    <x v="5"/>
    <n v="19"/>
    <n v="16065"/>
    <n v="3"/>
    <n v="199"/>
    <n v="1499"/>
  </r>
  <r>
    <x v="2"/>
    <x v="4"/>
    <n v="13"/>
    <n v="26320"/>
    <n v="2"/>
    <n v="699"/>
    <n v="3499"/>
  </r>
  <r>
    <x v="3"/>
    <x v="1"/>
    <n v="29"/>
    <n v="91425"/>
    <n v="4"/>
    <n v="999"/>
    <n v="4999"/>
  </r>
  <r>
    <x v="3"/>
    <x v="2"/>
    <n v="27"/>
    <n v="29032"/>
    <n v="3"/>
    <n v="199"/>
    <n v="1999"/>
  </r>
  <r>
    <x v="3"/>
    <x v="5"/>
    <n v="13"/>
    <n v="11743"/>
    <n v="1"/>
    <n v="199"/>
    <n v="1499"/>
  </r>
  <r>
    <x v="3"/>
    <x v="3"/>
    <n v="23"/>
    <n v="22289"/>
    <n v="5"/>
    <n v="349"/>
    <n v="1499"/>
  </r>
  <r>
    <x v="3"/>
    <x v="4"/>
    <n v="6"/>
    <n v="17149"/>
    <n v="1"/>
    <n v="699"/>
    <n v="3499"/>
  </r>
  <r>
    <x v="4"/>
    <x v="0"/>
    <n v="20"/>
    <n v="29050"/>
    <n v="4"/>
    <n v="499"/>
    <n v="2499"/>
  </r>
  <r>
    <x v="4"/>
    <x v="1"/>
    <n v="28"/>
    <n v="73938"/>
    <n v="1"/>
    <n v="999"/>
    <n v="4999"/>
  </r>
  <r>
    <x v="4"/>
    <x v="2"/>
    <n v="11"/>
    <n v="11360"/>
    <n v="2"/>
    <n v="199"/>
    <n v="1999"/>
  </r>
  <r>
    <x v="4"/>
    <x v="3"/>
    <n v="27"/>
    <n v="23901"/>
    <n v="5"/>
    <n v="349"/>
    <n v="1499"/>
  </r>
  <r>
    <x v="4"/>
    <x v="4"/>
    <n v="6"/>
    <n v="13181"/>
    <n v="1"/>
    <n v="699"/>
    <n v="3499"/>
  </r>
  <r>
    <x v="5"/>
    <x v="1"/>
    <n v="39"/>
    <n v="121469"/>
    <n v="9"/>
    <n v="999"/>
    <n v="4999"/>
  </r>
  <r>
    <x v="5"/>
    <x v="2"/>
    <n v="30"/>
    <n v="30778"/>
    <n v="3"/>
    <n v="199"/>
    <n v="1999"/>
  </r>
  <r>
    <x v="5"/>
    <x v="3"/>
    <n v="14"/>
    <n v="13808"/>
    <n v="1"/>
    <n v="349"/>
    <n v="1499"/>
  </r>
  <r>
    <x v="5"/>
    <x v="4"/>
    <n v="24"/>
    <n v="62672"/>
    <n v="1"/>
    <n v="699"/>
    <n v="3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8" compact="0" compactData="0">
  <location ref="A1:H9" firstHeaderRow="1" firstDataRow="2" firstDataCol="1"/>
  <pivotFields count="7">
    <pivotField name="city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category" axis="axisCol" compact="0" outline="0" multipleItemSelectionAllowed="1" showAll="0" sortType="ascending">
      <items count="7">
        <item x="0"/>
        <item x="1"/>
        <item x="2"/>
        <item x="5"/>
        <item x="3"/>
        <item x="4"/>
        <item t="default"/>
      </items>
    </pivotField>
    <pivotField name="bookings_count" compact="0" outline="0" multipleItemSelectionAllowed="1" showAll="0"/>
    <pivotField name="revenue_inr" dataField="1" compact="0" outline="0" multipleItemSelectionAllowed="1" showAll="0"/>
    <pivotField name="sla_breaches" compact="0" outline="0" multipleItemSelectionAllowed="1" showAll="0"/>
    <pivotField name="min_price_inr" compact="0" outline="0" multipleItemSelectionAllowed="1" showAll="0"/>
    <pivotField name="max_price_inr" compact="0" outline="0" multipleItemSelectionAllowe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3" baseField="0"/>
  </dataFields>
  <formats count="15">
    <format dxfId="14">
      <pivotArea type="origin" dataOnly="0" labelOnly="1" outline="0" fieldPosition="0"/>
    </format>
    <format dxfId="13">
      <pivotArea field="1" type="button" dataOnly="0" labelOnly="1" outline="0" axis="axisCol" fieldPosition="0"/>
    </format>
    <format dxfId="12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grandRow="1" outline="0" fieldPosition="0"/>
    </format>
    <format dxfId="8">
      <pivotArea dataOnly="0" labelOnly="1" grandRow="1" outline="0" fieldPosition="0"/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1" count="0"/>
        </references>
      </pivotArea>
    </format>
    <format dxfId="5">
      <pivotArea dataOnly="0" labelOnly="1" grandCol="1" outline="0" fieldPosition="0"/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grandCol="1" outline="0" fieldPosition="0"/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"/>
  <sheetViews>
    <sheetView tabSelected="1" zoomScale="83" workbookViewId="0">
      <selection activeCell="B7" sqref="B7"/>
    </sheetView>
  </sheetViews>
  <sheetFormatPr defaultColWidth="12.6328125" defaultRowHeight="15.75" customHeight="1" x14ac:dyDescent="0.25"/>
  <cols>
    <col min="1" max="1" width="9.7265625" bestFit="1" customWidth="1"/>
    <col min="2" max="2" width="18.1796875" bestFit="1" customWidth="1"/>
    <col min="3" max="3" width="14.90625" bestFit="1" customWidth="1"/>
    <col min="4" max="4" width="11.1796875" bestFit="1" customWidth="1"/>
    <col min="5" max="5" width="12.26953125" bestFit="1" customWidth="1"/>
    <col min="6" max="6" width="12.54296875" bestFit="1" customWidth="1"/>
    <col min="7" max="7" width="13.08984375" bestFit="1" customWidth="1"/>
  </cols>
  <sheetData>
    <row r="1" spans="1:7" ht="15.75" customHeight="1" x14ac:dyDescent="0.3">
      <c r="A1" s="20" t="s">
        <v>0</v>
      </c>
      <c r="B1" s="20" t="s">
        <v>1</v>
      </c>
      <c r="C1" s="20" t="s">
        <v>3</v>
      </c>
      <c r="D1" s="20" t="s">
        <v>5</v>
      </c>
      <c r="E1" s="20" t="s">
        <v>7</v>
      </c>
      <c r="F1" s="20" t="s">
        <v>2</v>
      </c>
      <c r="G1" s="20" t="s">
        <v>4</v>
      </c>
    </row>
    <row r="2" spans="1:7" ht="15.75" customHeight="1" x14ac:dyDescent="0.25">
      <c r="A2" s="1" t="s">
        <v>9</v>
      </c>
      <c r="B2" s="1" t="s">
        <v>6</v>
      </c>
      <c r="C2" s="1">
        <v>40</v>
      </c>
      <c r="D2" s="1">
        <v>61229</v>
      </c>
      <c r="E2" s="1">
        <v>7</v>
      </c>
      <c r="F2" s="1">
        <f>VLOOKUP(B2,'Category Reference'!$A$2:$C$7,2,FALSE)</f>
        <v>499</v>
      </c>
      <c r="G2" s="1">
        <f>VLOOKUP(B2,'Category Reference'!$A$2:$C$7,3,FALSE)</f>
        <v>2499</v>
      </c>
    </row>
    <row r="3" spans="1:7" ht="15.75" customHeight="1" x14ac:dyDescent="0.25">
      <c r="A3" s="1" t="s">
        <v>9</v>
      </c>
      <c r="B3" s="1" t="s">
        <v>11</v>
      </c>
      <c r="C3" s="1">
        <v>18</v>
      </c>
      <c r="D3" s="1">
        <v>49592</v>
      </c>
      <c r="E3" s="1">
        <v>2</v>
      </c>
      <c r="F3" s="1">
        <f>VLOOKUP(B3,'Category Reference'!$A$2:$C$7,2,FALSE)</f>
        <v>999</v>
      </c>
      <c r="G3" s="1">
        <f>VLOOKUP(B3,'Category Reference'!$A$2:$C$7,3,FALSE)</f>
        <v>4999</v>
      </c>
    </row>
    <row r="4" spans="1:7" ht="15.75" customHeight="1" x14ac:dyDescent="0.25">
      <c r="A4" s="1" t="s">
        <v>9</v>
      </c>
      <c r="B4" s="1" t="s">
        <v>13</v>
      </c>
      <c r="C4" s="1">
        <v>19</v>
      </c>
      <c r="D4" s="1">
        <v>23082</v>
      </c>
      <c r="E4" s="1">
        <v>3</v>
      </c>
      <c r="F4" s="1">
        <f>VLOOKUP(B4,'Category Reference'!$A$2:$C$7,2,FALSE)</f>
        <v>199</v>
      </c>
      <c r="G4" s="1">
        <f>VLOOKUP(B4,'Category Reference'!$A$2:$C$7,3,FALSE)</f>
        <v>1999</v>
      </c>
    </row>
    <row r="5" spans="1:7" ht="15.75" customHeight="1" x14ac:dyDescent="0.25">
      <c r="A5" s="1" t="s">
        <v>9</v>
      </c>
      <c r="B5" s="1" t="s">
        <v>10</v>
      </c>
      <c r="C5" s="1">
        <v>14</v>
      </c>
      <c r="D5" s="1">
        <v>13565</v>
      </c>
      <c r="E5" s="1">
        <v>3</v>
      </c>
      <c r="F5" s="1">
        <f>VLOOKUP(B5,'Category Reference'!$A$2:$C$7,2,FALSE)</f>
        <v>349</v>
      </c>
      <c r="G5" s="1">
        <f>VLOOKUP(B5,'Category Reference'!$A$2:$C$7,3,FALSE)</f>
        <v>1499</v>
      </c>
    </row>
    <row r="6" spans="1:7" ht="15.75" customHeight="1" x14ac:dyDescent="0.25">
      <c r="A6" s="1" t="s">
        <v>9</v>
      </c>
      <c r="B6" s="1" t="s">
        <v>8</v>
      </c>
      <c r="C6" s="1">
        <v>16</v>
      </c>
      <c r="D6" s="1">
        <v>32367</v>
      </c>
      <c r="E6" s="1">
        <v>2</v>
      </c>
      <c r="F6" s="1">
        <f>VLOOKUP(B6,'Category Reference'!$A$2:$C$7,2,FALSE)</f>
        <v>699</v>
      </c>
      <c r="G6" s="1">
        <f>VLOOKUP(B6,'Category Reference'!$A$2:$C$7,3,FALSE)</f>
        <v>3499</v>
      </c>
    </row>
    <row r="7" spans="1:7" ht="15.75" customHeight="1" x14ac:dyDescent="0.25">
      <c r="A7" s="1" t="s">
        <v>16</v>
      </c>
      <c r="B7" s="1" t="s">
        <v>11</v>
      </c>
      <c r="C7" s="1">
        <v>37</v>
      </c>
      <c r="D7" s="1">
        <v>109499</v>
      </c>
      <c r="E7" s="1">
        <v>5</v>
      </c>
      <c r="F7" s="1">
        <f>VLOOKUP(B7,'Category Reference'!$A$2:$C$7,2,FALSE)</f>
        <v>999</v>
      </c>
      <c r="G7" s="1">
        <f>VLOOKUP(B7,'Category Reference'!$A$2:$C$7,3,FALSE)</f>
        <v>4999</v>
      </c>
    </row>
    <row r="8" spans="1:7" ht="15.75" customHeight="1" x14ac:dyDescent="0.25">
      <c r="A8" s="1" t="s">
        <v>16</v>
      </c>
      <c r="B8" s="1" t="s">
        <v>13</v>
      </c>
      <c r="C8" s="1">
        <v>13</v>
      </c>
      <c r="D8" s="1">
        <v>13044</v>
      </c>
      <c r="E8" s="1">
        <v>1</v>
      </c>
      <c r="F8" s="1">
        <f>VLOOKUP(B8,'Category Reference'!$A$2:$C$7,2,FALSE)</f>
        <v>199</v>
      </c>
      <c r="G8" s="1">
        <f>VLOOKUP(B8,'Category Reference'!$A$2:$C$7,3,FALSE)</f>
        <v>1999</v>
      </c>
    </row>
    <row r="9" spans="1:7" ht="15.75" customHeight="1" x14ac:dyDescent="0.25">
      <c r="A9" s="1" t="s">
        <v>16</v>
      </c>
      <c r="B9" s="1" t="s">
        <v>12</v>
      </c>
      <c r="C9" s="1">
        <v>63</v>
      </c>
      <c r="D9" s="1">
        <v>53029</v>
      </c>
      <c r="E9" s="1">
        <v>9</v>
      </c>
      <c r="F9" s="1">
        <f>VLOOKUP(B9,'Category Reference'!$A$2:$C$7,2,FALSE)</f>
        <v>199</v>
      </c>
      <c r="G9" s="1">
        <f>VLOOKUP(B9,'Category Reference'!$A$2:$C$7,3,FALSE)</f>
        <v>1499</v>
      </c>
    </row>
    <row r="10" spans="1:7" ht="15.75" customHeight="1" x14ac:dyDescent="0.25">
      <c r="A10" s="1" t="s">
        <v>17</v>
      </c>
      <c r="B10" s="1" t="s">
        <v>6</v>
      </c>
      <c r="C10" s="1">
        <v>14</v>
      </c>
      <c r="D10" s="1">
        <v>22760</v>
      </c>
      <c r="E10" s="1">
        <v>0</v>
      </c>
      <c r="F10" s="1">
        <f>VLOOKUP(B10,'Category Reference'!$A$2:$C$7,2,FALSE)</f>
        <v>499</v>
      </c>
      <c r="G10" s="1">
        <f>VLOOKUP(B10,'Category Reference'!$A$2:$C$7,3,FALSE)</f>
        <v>2499</v>
      </c>
    </row>
    <row r="11" spans="1:7" ht="15.75" customHeight="1" x14ac:dyDescent="0.25">
      <c r="A11" s="1" t="s">
        <v>17</v>
      </c>
      <c r="B11" s="1" t="s">
        <v>11</v>
      </c>
      <c r="C11" s="1">
        <v>25</v>
      </c>
      <c r="D11" s="1">
        <v>63041</v>
      </c>
      <c r="E11" s="1">
        <v>0</v>
      </c>
      <c r="F11" s="1">
        <f>VLOOKUP(B11,'Category Reference'!$A$2:$C$7,2,FALSE)</f>
        <v>999</v>
      </c>
      <c r="G11" s="1">
        <f>VLOOKUP(B11,'Category Reference'!$A$2:$C$7,3,FALSE)</f>
        <v>4999</v>
      </c>
    </row>
    <row r="12" spans="1:7" ht="15.75" customHeight="1" x14ac:dyDescent="0.25">
      <c r="A12" s="1" t="s">
        <v>17</v>
      </c>
      <c r="B12" s="1" t="s">
        <v>13</v>
      </c>
      <c r="C12" s="1">
        <v>12</v>
      </c>
      <c r="D12" s="1">
        <v>12585</v>
      </c>
      <c r="E12" s="1">
        <v>1</v>
      </c>
      <c r="F12" s="1">
        <f>VLOOKUP(B12,'Category Reference'!$A$2:$C$7,2,FALSE)</f>
        <v>199</v>
      </c>
      <c r="G12" s="1">
        <f>VLOOKUP(B12,'Category Reference'!$A$2:$C$7,3,FALSE)</f>
        <v>1999</v>
      </c>
    </row>
    <row r="13" spans="1:7" ht="15.75" customHeight="1" x14ac:dyDescent="0.25">
      <c r="A13" s="1" t="s">
        <v>17</v>
      </c>
      <c r="B13" s="1" t="s">
        <v>12</v>
      </c>
      <c r="C13" s="1">
        <v>19</v>
      </c>
      <c r="D13" s="1">
        <v>16065</v>
      </c>
      <c r="E13" s="1">
        <v>3</v>
      </c>
      <c r="F13" s="1">
        <f>VLOOKUP(B13,'Category Reference'!$A$2:$C$7,2,FALSE)</f>
        <v>199</v>
      </c>
      <c r="G13" s="1">
        <f>VLOOKUP(B13,'Category Reference'!$A$2:$C$7,3,FALSE)</f>
        <v>1499</v>
      </c>
    </row>
    <row r="14" spans="1:7" ht="15.75" customHeight="1" x14ac:dyDescent="0.25">
      <c r="A14" s="1" t="s">
        <v>17</v>
      </c>
      <c r="B14" s="1" t="s">
        <v>8</v>
      </c>
      <c r="C14" s="1">
        <v>13</v>
      </c>
      <c r="D14" s="1">
        <v>26320</v>
      </c>
      <c r="E14" s="1">
        <v>2</v>
      </c>
      <c r="F14" s="1">
        <f>VLOOKUP(B14,'Category Reference'!$A$2:$C$7,2,FALSE)</f>
        <v>699</v>
      </c>
      <c r="G14" s="1">
        <f>VLOOKUP(B14,'Category Reference'!$A$2:$C$7,3,FALSE)</f>
        <v>3499</v>
      </c>
    </row>
    <row r="15" spans="1:7" ht="15.75" customHeight="1" x14ac:dyDescent="0.25">
      <c r="A15" s="1" t="s">
        <v>18</v>
      </c>
      <c r="B15" s="1" t="s">
        <v>11</v>
      </c>
      <c r="C15" s="1">
        <v>29</v>
      </c>
      <c r="D15" s="1">
        <v>91425</v>
      </c>
      <c r="E15" s="1">
        <v>4</v>
      </c>
      <c r="F15" s="1">
        <f>VLOOKUP(B15,'Category Reference'!$A$2:$C$7,2,FALSE)</f>
        <v>999</v>
      </c>
      <c r="G15" s="1">
        <f>VLOOKUP(B15,'Category Reference'!$A$2:$C$7,3,FALSE)</f>
        <v>4999</v>
      </c>
    </row>
    <row r="16" spans="1:7" ht="15.75" customHeight="1" x14ac:dyDescent="0.25">
      <c r="A16" s="1" t="s">
        <v>18</v>
      </c>
      <c r="B16" s="1" t="s">
        <v>13</v>
      </c>
      <c r="C16" s="1">
        <v>27</v>
      </c>
      <c r="D16" s="1">
        <v>29032</v>
      </c>
      <c r="E16" s="1">
        <v>3</v>
      </c>
      <c r="F16" s="1">
        <f>VLOOKUP(B16,'Category Reference'!$A$2:$C$7,2,FALSE)</f>
        <v>199</v>
      </c>
      <c r="G16" s="1">
        <f>VLOOKUP(B16,'Category Reference'!$A$2:$C$7,3,FALSE)</f>
        <v>1999</v>
      </c>
    </row>
    <row r="17" spans="1:7" ht="15.75" customHeight="1" x14ac:dyDescent="0.25">
      <c r="A17" s="1" t="s">
        <v>18</v>
      </c>
      <c r="B17" s="1" t="s">
        <v>12</v>
      </c>
      <c r="C17" s="1">
        <v>13</v>
      </c>
      <c r="D17" s="1">
        <v>11743</v>
      </c>
      <c r="E17" s="1">
        <v>1</v>
      </c>
      <c r="F17" s="1">
        <f>VLOOKUP(B17,'Category Reference'!$A$2:$C$7,2,FALSE)</f>
        <v>199</v>
      </c>
      <c r="G17" s="1">
        <f>VLOOKUP(B17,'Category Reference'!$A$2:$C$7,3,FALSE)</f>
        <v>1499</v>
      </c>
    </row>
    <row r="18" spans="1:7" ht="15.75" customHeight="1" x14ac:dyDescent="0.25">
      <c r="A18" s="1" t="s">
        <v>18</v>
      </c>
      <c r="B18" s="1" t="s">
        <v>10</v>
      </c>
      <c r="C18" s="1">
        <v>23</v>
      </c>
      <c r="D18" s="1">
        <v>22289</v>
      </c>
      <c r="E18" s="1">
        <v>5</v>
      </c>
      <c r="F18" s="1">
        <f>VLOOKUP(B18,'Category Reference'!$A$2:$C$7,2,FALSE)</f>
        <v>349</v>
      </c>
      <c r="G18" s="1">
        <f>VLOOKUP(B18,'Category Reference'!$A$2:$C$7,3,FALSE)</f>
        <v>1499</v>
      </c>
    </row>
    <row r="19" spans="1:7" ht="15.75" customHeight="1" x14ac:dyDescent="0.25">
      <c r="A19" s="1" t="s">
        <v>18</v>
      </c>
      <c r="B19" s="1" t="s">
        <v>8</v>
      </c>
      <c r="C19" s="1">
        <v>6</v>
      </c>
      <c r="D19" s="1">
        <v>17149</v>
      </c>
      <c r="E19" s="1">
        <v>1</v>
      </c>
      <c r="F19" s="1">
        <f>VLOOKUP(B19,'Category Reference'!$A$2:$C$7,2,FALSE)</f>
        <v>699</v>
      </c>
      <c r="G19" s="1">
        <f>VLOOKUP(B19,'Category Reference'!$A$2:$C$7,3,FALSE)</f>
        <v>3499</v>
      </c>
    </row>
    <row r="20" spans="1:7" ht="12.5" x14ac:dyDescent="0.25">
      <c r="A20" s="1" t="s">
        <v>19</v>
      </c>
      <c r="B20" s="1" t="s">
        <v>6</v>
      </c>
      <c r="C20" s="1">
        <v>20</v>
      </c>
      <c r="D20" s="1">
        <v>29050</v>
      </c>
      <c r="E20" s="1">
        <v>4</v>
      </c>
      <c r="F20" s="1">
        <f>VLOOKUP(B20,'Category Reference'!$A$2:$C$7,2,FALSE)</f>
        <v>499</v>
      </c>
      <c r="G20" s="1">
        <f>VLOOKUP(B20,'Category Reference'!$A$2:$C$7,3,FALSE)</f>
        <v>2499</v>
      </c>
    </row>
    <row r="21" spans="1:7" ht="12.5" x14ac:dyDescent="0.25">
      <c r="A21" s="1" t="s">
        <v>19</v>
      </c>
      <c r="B21" s="1" t="s">
        <v>11</v>
      </c>
      <c r="C21" s="1">
        <v>28</v>
      </c>
      <c r="D21" s="1">
        <v>73938</v>
      </c>
      <c r="E21" s="1">
        <v>1</v>
      </c>
      <c r="F21" s="1">
        <f>VLOOKUP(B21,'Category Reference'!$A$2:$C$7,2,FALSE)</f>
        <v>999</v>
      </c>
      <c r="G21" s="1">
        <f>VLOOKUP(B21,'Category Reference'!$A$2:$C$7,3,FALSE)</f>
        <v>4999</v>
      </c>
    </row>
    <row r="22" spans="1:7" ht="12.5" x14ac:dyDescent="0.25">
      <c r="A22" s="1" t="s">
        <v>19</v>
      </c>
      <c r="B22" s="1" t="s">
        <v>13</v>
      </c>
      <c r="C22" s="1">
        <v>11</v>
      </c>
      <c r="D22" s="1">
        <v>11360</v>
      </c>
      <c r="E22" s="1">
        <v>2</v>
      </c>
      <c r="F22" s="1">
        <f>VLOOKUP(B22,'Category Reference'!$A$2:$C$7,2,FALSE)</f>
        <v>199</v>
      </c>
      <c r="G22" s="1">
        <f>VLOOKUP(B22,'Category Reference'!$A$2:$C$7,3,FALSE)</f>
        <v>1999</v>
      </c>
    </row>
    <row r="23" spans="1:7" ht="12.5" x14ac:dyDescent="0.25">
      <c r="A23" s="1" t="s">
        <v>19</v>
      </c>
      <c r="B23" s="1" t="s">
        <v>10</v>
      </c>
      <c r="C23" s="1">
        <v>27</v>
      </c>
      <c r="D23" s="1">
        <v>23901</v>
      </c>
      <c r="E23" s="1">
        <v>5</v>
      </c>
      <c r="F23" s="1">
        <f>VLOOKUP(B23,'Category Reference'!$A$2:$C$7,2,FALSE)</f>
        <v>349</v>
      </c>
      <c r="G23" s="1">
        <f>VLOOKUP(B23,'Category Reference'!$A$2:$C$7,3,FALSE)</f>
        <v>1499</v>
      </c>
    </row>
    <row r="24" spans="1:7" ht="12.5" x14ac:dyDescent="0.25">
      <c r="A24" s="1" t="s">
        <v>19</v>
      </c>
      <c r="B24" s="1" t="s">
        <v>8</v>
      </c>
      <c r="C24" s="1">
        <v>6</v>
      </c>
      <c r="D24" s="1">
        <v>13181</v>
      </c>
      <c r="E24" s="1">
        <v>1</v>
      </c>
      <c r="F24" s="1">
        <f>VLOOKUP(B24,'Category Reference'!$A$2:$C$7,2,FALSE)</f>
        <v>699</v>
      </c>
      <c r="G24" s="1">
        <f>VLOOKUP(B24,'Category Reference'!$A$2:$C$7,3,FALSE)</f>
        <v>3499</v>
      </c>
    </row>
    <row r="25" spans="1:7" ht="12.5" x14ac:dyDescent="0.25">
      <c r="A25" s="1" t="s">
        <v>20</v>
      </c>
      <c r="B25" s="1" t="s">
        <v>11</v>
      </c>
      <c r="C25" s="1">
        <v>39</v>
      </c>
      <c r="D25" s="1">
        <v>121469</v>
      </c>
      <c r="E25" s="1">
        <v>9</v>
      </c>
      <c r="F25" s="1">
        <f>VLOOKUP(B25,'Category Reference'!$A$2:$C$7,2,FALSE)</f>
        <v>999</v>
      </c>
      <c r="G25" s="1">
        <f>VLOOKUP(B25,'Category Reference'!$A$2:$C$7,3,FALSE)</f>
        <v>4999</v>
      </c>
    </row>
    <row r="26" spans="1:7" ht="12.5" x14ac:dyDescent="0.25">
      <c r="A26" s="1" t="s">
        <v>20</v>
      </c>
      <c r="B26" s="1" t="s">
        <v>13</v>
      </c>
      <c r="C26" s="1">
        <v>30</v>
      </c>
      <c r="D26" s="1">
        <v>30778</v>
      </c>
      <c r="E26" s="1">
        <v>3</v>
      </c>
      <c r="F26" s="1">
        <f>VLOOKUP(B26,'Category Reference'!$A$2:$C$7,2,FALSE)</f>
        <v>199</v>
      </c>
      <c r="G26" s="1">
        <f>VLOOKUP(B26,'Category Reference'!$A$2:$C$7,3,FALSE)</f>
        <v>1999</v>
      </c>
    </row>
    <row r="27" spans="1:7" ht="12.5" x14ac:dyDescent="0.25">
      <c r="A27" s="1" t="s">
        <v>20</v>
      </c>
      <c r="B27" s="1" t="s">
        <v>10</v>
      </c>
      <c r="C27" s="1">
        <v>14</v>
      </c>
      <c r="D27" s="1">
        <v>13808</v>
      </c>
      <c r="E27" s="1">
        <v>1</v>
      </c>
      <c r="F27" s="1">
        <f>VLOOKUP(B27,'Category Reference'!$A$2:$C$7,2,FALSE)</f>
        <v>349</v>
      </c>
      <c r="G27" s="1">
        <f>VLOOKUP(B27,'Category Reference'!$A$2:$C$7,3,FALSE)</f>
        <v>1499</v>
      </c>
    </row>
    <row r="28" spans="1:7" ht="12.5" x14ac:dyDescent="0.25">
      <c r="A28" s="1" t="s">
        <v>20</v>
      </c>
      <c r="B28" s="1" t="s">
        <v>8</v>
      </c>
      <c r="C28" s="1">
        <v>24</v>
      </c>
      <c r="D28" s="1">
        <v>62672</v>
      </c>
      <c r="E28" s="1">
        <v>1</v>
      </c>
      <c r="F28" s="1">
        <f>VLOOKUP(B28,'Category Reference'!$A$2:$C$7,2,FALSE)</f>
        <v>699</v>
      </c>
      <c r="G28" s="1">
        <f>VLOOKUP(B28,'Category Reference'!$A$2:$C$7,3,FALSE)</f>
        <v>3499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"/>
  <sheetViews>
    <sheetView showGridLines="0" workbookViewId="0"/>
  </sheetViews>
  <sheetFormatPr defaultColWidth="12.6328125" defaultRowHeight="15.75" customHeight="1" x14ac:dyDescent="0.25"/>
  <cols>
    <col min="1" max="1" width="18" bestFit="1" customWidth="1"/>
    <col min="2" max="2" width="18.26953125" bestFit="1" customWidth="1"/>
    <col min="3" max="3" width="18.81640625" bestFit="1" customWidth="1"/>
    <col min="4" max="4" width="14.90625" bestFit="1" customWidth="1"/>
    <col min="5" max="5" width="8.81640625" bestFit="1" customWidth="1"/>
    <col min="6" max="6" width="12.90625" bestFit="1" customWidth="1"/>
    <col min="7" max="7" width="15.7265625" bestFit="1" customWidth="1"/>
    <col min="8" max="8" width="11.08984375" bestFit="1" customWidth="1"/>
  </cols>
  <sheetData>
    <row r="1" spans="1:8" ht="15.75" customHeight="1" x14ac:dyDescent="0.3">
      <c r="A1" s="21" t="s">
        <v>14</v>
      </c>
      <c r="B1" s="21" t="s">
        <v>1</v>
      </c>
      <c r="C1" s="10"/>
      <c r="D1" s="10"/>
      <c r="E1" s="10"/>
      <c r="F1" s="10"/>
      <c r="G1" s="10"/>
      <c r="H1" s="11"/>
    </row>
    <row r="2" spans="1:8" ht="15.75" customHeight="1" x14ac:dyDescent="0.3">
      <c r="A2" s="22" t="s">
        <v>0</v>
      </c>
      <c r="B2" s="22" t="s">
        <v>6</v>
      </c>
      <c r="C2" s="23" t="s">
        <v>11</v>
      </c>
      <c r="D2" s="23" t="s">
        <v>13</v>
      </c>
      <c r="E2" s="23" t="s">
        <v>12</v>
      </c>
      <c r="F2" s="23" t="s">
        <v>10</v>
      </c>
      <c r="G2" s="23" t="s">
        <v>8</v>
      </c>
      <c r="H2" s="24" t="s">
        <v>15</v>
      </c>
    </row>
    <row r="3" spans="1:8" ht="15.75" customHeight="1" x14ac:dyDescent="0.25">
      <c r="A3" s="12" t="s">
        <v>9</v>
      </c>
      <c r="B3" s="13">
        <v>61229</v>
      </c>
      <c r="C3" s="14">
        <v>49592</v>
      </c>
      <c r="D3" s="14">
        <v>23082</v>
      </c>
      <c r="E3" s="14"/>
      <c r="F3" s="14">
        <v>13565</v>
      </c>
      <c r="G3" s="14">
        <v>32367</v>
      </c>
      <c r="H3" s="15">
        <v>179835</v>
      </c>
    </row>
    <row r="4" spans="1:8" ht="15.75" customHeight="1" x14ac:dyDescent="0.25">
      <c r="A4" s="16" t="s">
        <v>16</v>
      </c>
      <c r="B4" s="17"/>
      <c r="C4" s="18">
        <v>109499</v>
      </c>
      <c r="D4" s="18">
        <v>13044</v>
      </c>
      <c r="E4" s="18">
        <v>53029</v>
      </c>
      <c r="F4" s="18"/>
      <c r="G4" s="18"/>
      <c r="H4" s="19">
        <v>175572</v>
      </c>
    </row>
    <row r="5" spans="1:8" ht="15.75" customHeight="1" x14ac:dyDescent="0.25">
      <c r="A5" s="16" t="s">
        <v>17</v>
      </c>
      <c r="B5" s="17">
        <v>22760</v>
      </c>
      <c r="C5" s="18">
        <v>63041</v>
      </c>
      <c r="D5" s="18">
        <v>12585</v>
      </c>
      <c r="E5" s="18">
        <v>16065</v>
      </c>
      <c r="F5" s="18"/>
      <c r="G5" s="18">
        <v>26320</v>
      </c>
      <c r="H5" s="19">
        <v>140771</v>
      </c>
    </row>
    <row r="6" spans="1:8" ht="15.75" customHeight="1" x14ac:dyDescent="0.25">
      <c r="A6" s="16" t="s">
        <v>18</v>
      </c>
      <c r="B6" s="17"/>
      <c r="C6" s="18">
        <v>91425</v>
      </c>
      <c r="D6" s="18">
        <v>29032</v>
      </c>
      <c r="E6" s="18">
        <v>11743</v>
      </c>
      <c r="F6" s="18">
        <v>22289</v>
      </c>
      <c r="G6" s="18">
        <v>17149</v>
      </c>
      <c r="H6" s="19">
        <v>171638</v>
      </c>
    </row>
    <row r="7" spans="1:8" ht="15.75" customHeight="1" x14ac:dyDescent="0.25">
      <c r="A7" s="16" t="s">
        <v>19</v>
      </c>
      <c r="B7" s="17">
        <v>29050</v>
      </c>
      <c r="C7" s="18">
        <v>73938</v>
      </c>
      <c r="D7" s="18">
        <v>11360</v>
      </c>
      <c r="E7" s="18"/>
      <c r="F7" s="18">
        <v>23901</v>
      </c>
      <c r="G7" s="18">
        <v>13181</v>
      </c>
      <c r="H7" s="19">
        <v>151430</v>
      </c>
    </row>
    <row r="8" spans="1:8" ht="15.75" customHeight="1" x14ac:dyDescent="0.25">
      <c r="A8" s="16" t="s">
        <v>20</v>
      </c>
      <c r="B8" s="17"/>
      <c r="C8" s="18">
        <v>121469</v>
      </c>
      <c r="D8" s="18">
        <v>30778</v>
      </c>
      <c r="E8" s="18"/>
      <c r="F8" s="18">
        <v>13808</v>
      </c>
      <c r="G8" s="18">
        <v>62672</v>
      </c>
      <c r="H8" s="19">
        <v>228727</v>
      </c>
    </row>
    <row r="9" spans="1:8" ht="15.75" customHeight="1" x14ac:dyDescent="0.3">
      <c r="A9" s="25" t="s">
        <v>15</v>
      </c>
      <c r="B9" s="26">
        <v>113039</v>
      </c>
      <c r="C9" s="27">
        <v>508964</v>
      </c>
      <c r="D9" s="27">
        <v>119881</v>
      </c>
      <c r="E9" s="27">
        <v>80837</v>
      </c>
      <c r="F9" s="27">
        <v>73563</v>
      </c>
      <c r="G9" s="27">
        <v>151689</v>
      </c>
      <c r="H9" s="28">
        <v>1047973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"/>
  <sheetViews>
    <sheetView workbookViewId="0"/>
  </sheetViews>
  <sheetFormatPr defaultColWidth="12.6328125" defaultRowHeight="15.75" customHeight="1" x14ac:dyDescent="0.25"/>
  <cols>
    <col min="1" max="1" width="16.90625" customWidth="1"/>
  </cols>
  <sheetData>
    <row r="1" spans="1:3" ht="15.75" customHeight="1" x14ac:dyDescent="0.25">
      <c r="A1" s="1" t="s">
        <v>1</v>
      </c>
      <c r="B1" s="1" t="s">
        <v>2</v>
      </c>
      <c r="C1" s="1" t="s">
        <v>4</v>
      </c>
    </row>
    <row r="2" spans="1:3" ht="15.75" customHeight="1" x14ac:dyDescent="0.25">
      <c r="A2" s="1" t="s">
        <v>6</v>
      </c>
      <c r="B2" s="1">
        <v>499</v>
      </c>
      <c r="C2" s="1">
        <v>2499</v>
      </c>
    </row>
    <row r="3" spans="1:3" ht="15.75" customHeight="1" x14ac:dyDescent="0.25">
      <c r="A3" s="1" t="s">
        <v>8</v>
      </c>
      <c r="B3" s="1">
        <v>699</v>
      </c>
      <c r="C3" s="1">
        <v>3499</v>
      </c>
    </row>
    <row r="4" spans="1:3" ht="15.75" customHeight="1" x14ac:dyDescent="0.25">
      <c r="A4" s="1" t="s">
        <v>10</v>
      </c>
      <c r="B4" s="1">
        <v>349</v>
      </c>
      <c r="C4" s="1">
        <v>1499</v>
      </c>
    </row>
    <row r="5" spans="1:3" ht="15.75" customHeight="1" x14ac:dyDescent="0.25">
      <c r="A5" s="1" t="s">
        <v>11</v>
      </c>
      <c r="B5" s="1">
        <v>999</v>
      </c>
      <c r="C5" s="1">
        <v>4999</v>
      </c>
    </row>
    <row r="6" spans="1:3" ht="15.75" customHeight="1" x14ac:dyDescent="0.25">
      <c r="A6" s="1" t="s">
        <v>12</v>
      </c>
      <c r="B6" s="1">
        <v>199</v>
      </c>
      <c r="C6" s="1">
        <v>1499</v>
      </c>
    </row>
    <row r="7" spans="1:3" ht="15.75" customHeight="1" x14ac:dyDescent="0.25">
      <c r="A7" s="1" t="s">
        <v>13</v>
      </c>
      <c r="B7" s="1">
        <v>199</v>
      </c>
      <c r="C7" s="1">
        <v>1999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1"/>
  <sheetViews>
    <sheetView zoomScale="53" workbookViewId="0">
      <selection activeCell="V14" sqref="V14"/>
    </sheetView>
  </sheetViews>
  <sheetFormatPr defaultColWidth="12.6328125" defaultRowHeight="15.75" customHeight="1" x14ac:dyDescent="0.25"/>
  <cols>
    <col min="1" max="1" width="15.6328125" customWidth="1"/>
  </cols>
  <sheetData>
    <row r="1" spans="1:5" ht="15.75" customHeight="1" x14ac:dyDescent="0.25">
      <c r="A1" s="1" t="s">
        <v>40</v>
      </c>
      <c r="B1" s="1" t="s">
        <v>41</v>
      </c>
    </row>
    <row r="2" spans="1:5" ht="15.75" customHeight="1" x14ac:dyDescent="0.25">
      <c r="A2" s="1" t="s">
        <v>28</v>
      </c>
      <c r="B2" s="1">
        <f>SUM('City-Category Data'!C2:C28)</f>
        <v>600</v>
      </c>
    </row>
    <row r="3" spans="1:5" ht="15.75" customHeight="1" x14ac:dyDescent="0.25">
      <c r="A3" s="1" t="s">
        <v>22</v>
      </c>
      <c r="B3" s="1">
        <f>SUM('City-Category Data'!D2:D28)</f>
        <v>1047973</v>
      </c>
    </row>
    <row r="4" spans="1:5" ht="15.75" customHeight="1" x14ac:dyDescent="0.25">
      <c r="A4" s="1" t="s">
        <v>23</v>
      </c>
      <c r="B4" s="1">
        <f>SUM('City-Category Data'!E2:E28)</f>
        <v>79</v>
      </c>
    </row>
    <row r="5" spans="1:5" ht="15.75" customHeight="1" x14ac:dyDescent="0.25">
      <c r="A5" s="1" t="s">
        <v>29</v>
      </c>
      <c r="B5" s="6">
        <f>B4/B2</f>
        <v>0.13166666666666665</v>
      </c>
    </row>
    <row r="6" spans="1:5" ht="15.75" customHeight="1" x14ac:dyDescent="0.25">
      <c r="A6" s="1" t="s">
        <v>21</v>
      </c>
      <c r="B6" s="1" t="s">
        <v>22</v>
      </c>
      <c r="C6" s="1" t="s">
        <v>23</v>
      </c>
      <c r="D6" s="1" t="s">
        <v>42</v>
      </c>
      <c r="E6" s="1" t="s">
        <v>29</v>
      </c>
    </row>
    <row r="7" spans="1:5" ht="15.75" customHeight="1" x14ac:dyDescent="0.25">
      <c r="A7" s="1" t="s">
        <v>9</v>
      </c>
      <c r="B7" s="1">
        <f>SUMIF('City-Category Data'!$A$2:$A$28,A7,'City-Category Data'!$D$2:$D$28)</f>
        <v>179835</v>
      </c>
      <c r="C7" s="1">
        <f>SUMIF('City-Category Data'!$A$2:$A$28,A7,'City-Category Data'!$E$2:$E$28)</f>
        <v>17</v>
      </c>
      <c r="D7" s="1">
        <f>SUMIF('City-Category Data'!$A$2:$A$28,A7,'City-Category Data'!$C$2:$C$28)</f>
        <v>107</v>
      </c>
      <c r="E7" s="6">
        <f t="shared" ref="E7:E12" si="0">C7/D7</f>
        <v>0.15887850467289719</v>
      </c>
    </row>
    <row r="8" spans="1:5" ht="15.75" customHeight="1" x14ac:dyDescent="0.25">
      <c r="A8" s="1" t="s">
        <v>19</v>
      </c>
      <c r="B8" s="1">
        <f>SUMIF('City-Category Data'!$A$2:$A$28,A8,'City-Category Data'!$D$2:$D$28)</f>
        <v>151430</v>
      </c>
      <c r="C8" s="1">
        <f>SUMIF('City-Category Data'!$A$2:$A$28,A8,'City-Category Data'!$E$2:$E$28)</f>
        <v>13</v>
      </c>
      <c r="D8" s="1">
        <f>SUMIF('City-Category Data'!$A$2:$A$28,A8,'City-Category Data'!$C$2:$C$28)</f>
        <v>92</v>
      </c>
      <c r="E8" s="6">
        <f t="shared" si="0"/>
        <v>0.14130434782608695</v>
      </c>
    </row>
    <row r="9" spans="1:5" ht="15.75" customHeight="1" x14ac:dyDescent="0.25">
      <c r="A9" s="1" t="s">
        <v>17</v>
      </c>
      <c r="B9" s="1">
        <f>SUMIF('City-Category Data'!$A$2:$A$28,A9,'City-Category Data'!$D$2:$D$28)</f>
        <v>140771</v>
      </c>
      <c r="C9" s="1">
        <f>SUMIF('City-Category Data'!$A$2:$A$28,A9,'City-Category Data'!$E$2:$E$28)</f>
        <v>6</v>
      </c>
      <c r="D9" s="1">
        <f>SUMIF('City-Category Data'!$A$2:$A$28,A9,'City-Category Data'!$C$2:$C$28)</f>
        <v>83</v>
      </c>
      <c r="E9" s="6">
        <f t="shared" si="0"/>
        <v>7.2289156626506021E-2</v>
      </c>
    </row>
    <row r="10" spans="1:5" ht="15.75" customHeight="1" x14ac:dyDescent="0.25">
      <c r="A10" s="1" t="s">
        <v>20</v>
      </c>
      <c r="B10" s="1">
        <f>SUMIF('City-Category Data'!$A$2:$A$28,A10,'City-Category Data'!$D$2:$D$28)</f>
        <v>228727</v>
      </c>
      <c r="C10" s="1">
        <f>SUMIF('City-Category Data'!$A$2:$A$28,A10,'City-Category Data'!$E$2:$E$28)</f>
        <v>14</v>
      </c>
      <c r="D10" s="1">
        <f>SUMIF('City-Category Data'!$A$2:$A$28,A10,'City-Category Data'!$C$2:$C$28)</f>
        <v>107</v>
      </c>
      <c r="E10" s="6">
        <f t="shared" si="0"/>
        <v>0.13084112149532709</v>
      </c>
    </row>
    <row r="11" spans="1:5" ht="15.75" customHeight="1" x14ac:dyDescent="0.25">
      <c r="A11" s="1" t="s">
        <v>18</v>
      </c>
      <c r="B11" s="1">
        <f>SUMIF('City-Category Data'!$A$2:$A$28,A11,'City-Category Data'!$D$2:$D$28)</f>
        <v>171638</v>
      </c>
      <c r="C11" s="1">
        <f>SUMIF('City-Category Data'!$A$2:$A$28,A11,'City-Category Data'!$E$2:$E$28)</f>
        <v>14</v>
      </c>
      <c r="D11" s="1">
        <f>SUMIF('City-Category Data'!$A$2:$A$28,A11,'City-Category Data'!$C$2:$C$28)</f>
        <v>98</v>
      </c>
      <c r="E11" s="6">
        <f t="shared" si="0"/>
        <v>0.14285714285714285</v>
      </c>
    </row>
    <row r="12" spans="1:5" ht="15.75" customHeight="1" x14ac:dyDescent="0.25">
      <c r="A12" s="1" t="s">
        <v>16</v>
      </c>
      <c r="B12" s="1">
        <f>SUMIF('City-Category Data'!$A$2:$A$28,A12,'City-Category Data'!$D$2:$D$28)</f>
        <v>175572</v>
      </c>
      <c r="C12" s="1">
        <f>SUMIF('City-Category Data'!$A$2:$A$28,A12,'City-Category Data'!$E$2:$E$28)</f>
        <v>15</v>
      </c>
      <c r="D12" s="1">
        <f>SUMIF('City-Category Data'!$A$2:$A$28,A12,'City-Category Data'!$C$2:$C$28)</f>
        <v>113</v>
      </c>
      <c r="E12" s="6">
        <f t="shared" si="0"/>
        <v>0.13274336283185842</v>
      </c>
    </row>
    <row r="15" spans="1:5" ht="15.75" customHeight="1" x14ac:dyDescent="0.25">
      <c r="A15" s="1" t="s">
        <v>43</v>
      </c>
      <c r="B15" s="1" t="s">
        <v>22</v>
      </c>
      <c r="C15" s="1" t="s">
        <v>23</v>
      </c>
      <c r="D15" s="1" t="s">
        <v>42</v>
      </c>
      <c r="E15" s="1" t="s">
        <v>29</v>
      </c>
    </row>
    <row r="16" spans="1:5" ht="15.75" customHeight="1" x14ac:dyDescent="0.25">
      <c r="A16" s="1" t="s">
        <v>6</v>
      </c>
      <c r="B16" s="1">
        <f>SUMIF('City-Category Data'!$B$2:$B$28,A16,'City-Category Data'!$D$2:$D$28)</f>
        <v>113039</v>
      </c>
      <c r="C16" s="1">
        <f>SUMIF('City-Category Data'!$B$2:$B$28,A16,'City-Category Data'!$E$2:$E$28)</f>
        <v>11</v>
      </c>
      <c r="D16" s="1">
        <f>SUMIF('City-Category Data'!$B$2:$B$28,A16,'City-Category Data'!$C$2:$C$28)</f>
        <v>74</v>
      </c>
      <c r="E16" s="6">
        <f t="shared" ref="E16:E21" si="1">C16/D16</f>
        <v>0.14864864864864866</v>
      </c>
    </row>
    <row r="17" spans="1:5" ht="15.75" customHeight="1" x14ac:dyDescent="0.25">
      <c r="A17" s="1" t="s">
        <v>8</v>
      </c>
      <c r="B17" s="1">
        <f>SUMIF('City-Category Data'!$B$2:$B$28,A17,'City-Category Data'!$D$2:$D$28)</f>
        <v>151689</v>
      </c>
      <c r="C17" s="1">
        <f>SUMIF('City-Category Data'!$B$2:$B$28,A17,'City-Category Data'!$E$2:$E$28)</f>
        <v>7</v>
      </c>
      <c r="D17" s="1">
        <f>SUMIF('City-Category Data'!$B$2:$B$28,A17,'City-Category Data'!$C$2:$C$28)</f>
        <v>65</v>
      </c>
      <c r="E17" s="6">
        <f t="shared" si="1"/>
        <v>0.1076923076923077</v>
      </c>
    </row>
    <row r="18" spans="1:5" ht="15.75" customHeight="1" x14ac:dyDescent="0.25">
      <c r="A18" s="1" t="s">
        <v>10</v>
      </c>
      <c r="B18" s="1">
        <f>SUMIF('City-Category Data'!$B$2:$B$28,A18,'City-Category Data'!$D$2:$D$28)</f>
        <v>73563</v>
      </c>
      <c r="C18" s="1">
        <f>SUMIF('City-Category Data'!$B$2:$B$28,A18,'City-Category Data'!$E$2:$E$28)</f>
        <v>14</v>
      </c>
      <c r="D18" s="1">
        <f>SUMIF('City-Category Data'!$B$2:$B$28,A18,'City-Category Data'!$C$2:$C$28)</f>
        <v>78</v>
      </c>
      <c r="E18" s="6">
        <f t="shared" si="1"/>
        <v>0.17948717948717949</v>
      </c>
    </row>
    <row r="19" spans="1:5" ht="15.75" customHeight="1" x14ac:dyDescent="0.25">
      <c r="A19" s="1" t="s">
        <v>11</v>
      </c>
      <c r="B19" s="1">
        <f>SUMIF('City-Category Data'!$B$2:$B$28,A19,'City-Category Data'!$D$2:$D$28)</f>
        <v>508964</v>
      </c>
      <c r="C19" s="1">
        <f>SUMIF('City-Category Data'!$B$2:$B$28,A19,'City-Category Data'!$E$2:$E$28)</f>
        <v>21</v>
      </c>
      <c r="D19" s="1">
        <f>SUMIF('City-Category Data'!$B$2:$B$28,A19,'City-Category Data'!$C$2:$C$28)</f>
        <v>176</v>
      </c>
      <c r="E19" s="6">
        <f t="shared" si="1"/>
        <v>0.11931818181818182</v>
      </c>
    </row>
    <row r="20" spans="1:5" ht="12.5" x14ac:dyDescent="0.25">
      <c r="A20" s="1" t="s">
        <v>12</v>
      </c>
      <c r="B20" s="1">
        <f>SUMIF('City-Category Data'!$B$2:$B$28,A20,'City-Category Data'!$D$2:$D$28)</f>
        <v>80837</v>
      </c>
      <c r="C20" s="1">
        <f>SUMIF('City-Category Data'!$B$2:$B$28,A20,'City-Category Data'!$E$2:$E$28)</f>
        <v>13</v>
      </c>
      <c r="D20" s="1">
        <f>SUMIF('City-Category Data'!$B$2:$B$28,A20,'City-Category Data'!$C$2:$C$28)</f>
        <v>95</v>
      </c>
      <c r="E20" s="6">
        <f t="shared" si="1"/>
        <v>0.1368421052631579</v>
      </c>
    </row>
    <row r="21" spans="1:5" ht="12.5" x14ac:dyDescent="0.25">
      <c r="A21" s="1" t="s">
        <v>13</v>
      </c>
      <c r="B21" s="1">
        <f>SUMIF('City-Category Data'!$B$2:$B$28,A21,'City-Category Data'!$D$2:$D$28)</f>
        <v>119881</v>
      </c>
      <c r="C21" s="1">
        <f>SUMIF('City-Category Data'!$B$2:$B$28,A21,'City-Category Data'!$E$2:$E$28)</f>
        <v>13</v>
      </c>
      <c r="D21" s="1">
        <f>SUMIF('City-Category Data'!$B$2:$B$28,A21,'City-Category Data'!$C$2:$C$28)</f>
        <v>112</v>
      </c>
      <c r="E21" s="6">
        <f t="shared" si="1"/>
        <v>0.11607142857142858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8"/>
  <sheetViews>
    <sheetView zoomScale="58" workbookViewId="0"/>
  </sheetViews>
  <sheetFormatPr defaultColWidth="12.6328125" defaultRowHeight="15.75" customHeight="1" x14ac:dyDescent="0.25"/>
  <cols>
    <col min="1" max="1" width="32" customWidth="1"/>
    <col min="3" max="3" width="17" bestFit="1" customWidth="1"/>
    <col min="4" max="4" width="23.453125" bestFit="1" customWidth="1"/>
    <col min="5" max="5" width="22.7265625" bestFit="1" customWidth="1"/>
  </cols>
  <sheetData>
    <row r="1" spans="1:5" ht="15.75" customHeigh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ht="15.75" customHeight="1" x14ac:dyDescent="0.25">
      <c r="A2" s="1" t="s">
        <v>9</v>
      </c>
      <c r="B2" s="1">
        <f>SUMIFS('City-Category Data'!$D$2:$D$28,'City-Category Data'!$A$2:$A$28,A2)</f>
        <v>179835</v>
      </c>
      <c r="C2" s="1">
        <f>SUMIFS('City-Category Data'!$E$2:$E$28,'City-Category Data'!$A$2:$A$28,A2)</f>
        <v>17</v>
      </c>
      <c r="D2" s="1">
        <f>COUNTIFS('City-Category Data'!$A$2:$A$28,A2)</f>
        <v>5</v>
      </c>
      <c r="E2" s="1" t="s">
        <v>26</v>
      </c>
    </row>
    <row r="3" spans="1:5" ht="15.75" customHeight="1" x14ac:dyDescent="0.25">
      <c r="A3" s="1" t="s">
        <v>19</v>
      </c>
      <c r="B3" s="1">
        <f>SUMIFS('City-Category Data'!$D$2:$D$28,'City-Category Data'!$A$2:$A$28,A3)</f>
        <v>151430</v>
      </c>
      <c r="C3" s="1">
        <f>SUMIFS('City-Category Data'!$E$2:$E$28,'City-Category Data'!$A$2:$A$28,A3)</f>
        <v>13</v>
      </c>
      <c r="D3" s="1">
        <f>COUNTIFS('City-Category Data'!$A$2:$A$28,A3)</f>
        <v>5</v>
      </c>
      <c r="E3" s="1" t="s">
        <v>26</v>
      </c>
    </row>
    <row r="4" spans="1:5" ht="15.75" customHeight="1" x14ac:dyDescent="0.25">
      <c r="A4" s="1" t="s">
        <v>17</v>
      </c>
      <c r="B4" s="1">
        <f>SUMIFS('City-Category Data'!$D$2:$D$28,'City-Category Data'!$A$2:$A$28,A4)</f>
        <v>140771</v>
      </c>
      <c r="C4" s="1">
        <f>SUMIFS('City-Category Data'!$E$2:$E$28,'City-Category Data'!$A$2:$A$28,A4)</f>
        <v>6</v>
      </c>
      <c r="D4" s="1">
        <f>COUNTIFS('City-Category Data'!$A$2:$A$28,A4)</f>
        <v>5</v>
      </c>
      <c r="E4" s="1" t="s">
        <v>26</v>
      </c>
    </row>
    <row r="5" spans="1:5" ht="15.75" customHeight="1" x14ac:dyDescent="0.25">
      <c r="A5" s="1" t="s">
        <v>20</v>
      </c>
      <c r="B5" s="1">
        <f>SUMIFS('City-Category Data'!$D$2:$D$28,'City-Category Data'!$A$2:$A$28,A5)</f>
        <v>228727</v>
      </c>
      <c r="C5" s="1">
        <f>SUMIFS('City-Category Data'!$E$2:$E$28,'City-Category Data'!$A$2:$A$28,A5)</f>
        <v>14</v>
      </c>
      <c r="D5" s="1">
        <f>COUNTIFS('City-Category Data'!$A$2:$A$28,A5)</f>
        <v>4</v>
      </c>
      <c r="E5" s="1" t="s">
        <v>26</v>
      </c>
    </row>
    <row r="6" spans="1:5" ht="15.75" customHeight="1" x14ac:dyDescent="0.25">
      <c r="A6" s="1" t="s">
        <v>18</v>
      </c>
      <c r="B6" s="1">
        <f>SUMIFS('City-Category Data'!$D$2:$D$28,'City-Category Data'!$A$2:$A$28,A6)</f>
        <v>171638</v>
      </c>
      <c r="C6" s="1">
        <f>SUMIFS('City-Category Data'!$E$2:$E$28,'City-Category Data'!$A$2:$A$28,A6)</f>
        <v>14</v>
      </c>
      <c r="D6" s="1">
        <f>COUNTIFS('City-Category Data'!$A$2:$A$28,A6)</f>
        <v>5</v>
      </c>
      <c r="E6" s="1" t="s">
        <v>26</v>
      </c>
    </row>
    <row r="7" spans="1:5" ht="15.75" customHeight="1" x14ac:dyDescent="0.25">
      <c r="A7" s="1" t="s">
        <v>16</v>
      </c>
      <c r="B7" s="1">
        <f>SUMIFS('City-Category Data'!$D$2:$D$28,'City-Category Data'!$A$2:$A$28,A7)</f>
        <v>175572</v>
      </c>
      <c r="C7" s="1">
        <f>SUMIFS('City-Category Data'!$E$2:$E$28,'City-Category Data'!$A$2:$A$28,A7)</f>
        <v>15</v>
      </c>
      <c r="D7" s="1">
        <f>COUNTIFS('City-Category Data'!$A$2:$A$28,A7)</f>
        <v>3</v>
      </c>
      <c r="E7" s="1" t="s">
        <v>26</v>
      </c>
    </row>
    <row r="10" spans="1:5" x14ac:dyDescent="0.3">
      <c r="A10" s="2" t="s">
        <v>27</v>
      </c>
      <c r="B10" s="3"/>
    </row>
    <row r="11" spans="1:5" x14ac:dyDescent="0.3">
      <c r="A11" s="4" t="s">
        <v>28</v>
      </c>
      <c r="B11" s="1">
        <f>Analysis!B2</f>
        <v>600</v>
      </c>
    </row>
    <row r="12" spans="1:5" x14ac:dyDescent="0.3">
      <c r="A12" s="4" t="s">
        <v>22</v>
      </c>
      <c r="B12" s="5">
        <f>Analysis!B3</f>
        <v>1047973</v>
      </c>
    </row>
    <row r="13" spans="1:5" x14ac:dyDescent="0.3">
      <c r="A13" s="4" t="s">
        <v>23</v>
      </c>
      <c r="B13" s="1">
        <f>Analysis!B4</f>
        <v>79</v>
      </c>
    </row>
    <row r="14" spans="1:5" x14ac:dyDescent="0.3">
      <c r="A14" s="4" t="s">
        <v>29</v>
      </c>
      <c r="B14" s="6">
        <f>Analysis!B5</f>
        <v>0.13166666666666665</v>
      </c>
    </row>
    <row r="17" spans="1:2" x14ac:dyDescent="0.3">
      <c r="A17" s="7" t="s">
        <v>30</v>
      </c>
      <c r="B17" s="7"/>
    </row>
    <row r="18" spans="1:2" x14ac:dyDescent="0.3">
      <c r="A18" s="4" t="s">
        <v>31</v>
      </c>
      <c r="B18" s="1" t="s">
        <v>20</v>
      </c>
    </row>
    <row r="19" spans="1:2" x14ac:dyDescent="0.3">
      <c r="A19" s="4" t="s">
        <v>32</v>
      </c>
      <c r="B19" s="1" t="s">
        <v>16</v>
      </c>
    </row>
    <row r="20" spans="1:2" ht="13" x14ac:dyDescent="0.3">
      <c r="A20" s="4" t="s">
        <v>33</v>
      </c>
      <c r="B20" s="1" t="s">
        <v>17</v>
      </c>
    </row>
    <row r="21" spans="1:2" ht="13" x14ac:dyDescent="0.3">
      <c r="A21" s="4" t="s">
        <v>34</v>
      </c>
      <c r="B21" s="1" t="s">
        <v>11</v>
      </c>
    </row>
    <row r="22" spans="1:2" ht="13" x14ac:dyDescent="0.3">
      <c r="A22" s="4" t="s">
        <v>35</v>
      </c>
      <c r="B22" s="1" t="s">
        <v>10</v>
      </c>
    </row>
    <row r="25" spans="1:2" ht="13" x14ac:dyDescent="0.3">
      <c r="A25" s="8" t="s">
        <v>36</v>
      </c>
      <c r="B25" s="9"/>
    </row>
    <row r="26" spans="1:2" ht="12.5" x14ac:dyDescent="0.25">
      <c r="A26" s="1" t="s">
        <v>37</v>
      </c>
    </row>
    <row r="27" spans="1:2" ht="12.5" x14ac:dyDescent="0.25">
      <c r="A27" s="1" t="s">
        <v>38</v>
      </c>
    </row>
    <row r="28" spans="1:2" ht="12.5" x14ac:dyDescent="0.25">
      <c r="A28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City-Category Data</vt:lpstr>
      <vt:lpstr>Pivot Table 1</vt:lpstr>
      <vt:lpstr>Category Reference</vt:lpstr>
      <vt:lpstr>Analysis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NAVYA CRYSTAL</cp:lastModifiedBy>
  <dcterms:modified xsi:type="dcterms:W3CDTF">2026-09-14T07:39:31Z</dcterms:modified>
</cp:coreProperties>
</file>